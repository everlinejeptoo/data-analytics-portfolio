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H5PONSL2A0+/yzjAGRiRGL/cZVJQZAi6VB5JcbHP2k="/>
    </ext>
  </extLst>
</workbook>
</file>

<file path=xl/sharedStrings.xml><?xml version="1.0" encoding="utf-8"?>
<sst xmlns="http://schemas.openxmlformats.org/spreadsheetml/2006/main" count="39" uniqueCount="29">
  <si>
    <t>Year</t>
  </si>
  <si>
    <t>CO2_Concentration_ppm</t>
  </si>
  <si>
    <t>Temperature_Anomaly_C</t>
  </si>
  <si>
    <t>Sea_Level_Rise_mm</t>
  </si>
  <si>
    <t>Arctic_Ice_Extent_M_sqkm</t>
  </si>
  <si>
    <t>Global_Emissions_GtCO2</t>
  </si>
  <si>
    <t>Correlation_Coefficient</t>
  </si>
  <si>
    <t>Predicted_CO2</t>
  </si>
  <si>
    <t xml:space="preserve">Residual </t>
  </si>
  <si>
    <t>Predicted_Sea_Level</t>
  </si>
  <si>
    <t>Average</t>
  </si>
  <si>
    <t>Measures of model accuracy for Year vs CO2</t>
  </si>
  <si>
    <t>MAE</t>
  </si>
  <si>
    <t>MSE(ppm²)</t>
  </si>
  <si>
    <t xml:space="preserve">Degree   </t>
  </si>
  <si>
    <t>Equation</t>
  </si>
  <si>
    <t>R²</t>
  </si>
  <si>
    <t>RMSE</t>
  </si>
  <si>
    <t>Linear</t>
  </si>
  <si>
    <t>y=3.81*x + -7618</t>
  </si>
  <si>
    <t>Quadratic</t>
  </si>
  <si>
    <t>y=262378 + -265x + 0.0668x^2</t>
  </si>
  <si>
    <t>Cubic</t>
  </si>
  <si>
    <t>y=-1.47E+07 + 22070x + -11x^2 + 1.84E-03x^3</t>
  </si>
  <si>
    <t>Quartic</t>
  </si>
  <si>
    <t>y=-6.79E+09 + 1.35E+07x + -10066x^2 + 3.34x^3 + -4.15E-04x^4</t>
  </si>
  <si>
    <t>y=77393 + -78.8x + 0.0202x^2</t>
  </si>
  <si>
    <t>y=-1.1E+07 + 16408x + -8.18x^2 + 1.36E-03x^3</t>
  </si>
  <si>
    <t>y=-1.65E+09 + 3.28E+06x + -2444x^2 + 0.809x^3 + -1E-04x^4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</si>
</sst>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color rgb="FFFFFFFF"/>
      <name val="Inter"/>
    </font>
    <font/>
    <font>
      <color theme="1"/>
      <name val="Inte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1" fillId="2" fontId="3" numFmtId="0" xfId="0" applyAlignment="1" applyBorder="1" applyFill="1" applyFont="1">
      <alignment readingOrder="0" vertical="bottom"/>
    </xf>
    <xf borderId="2" fillId="0" fontId="4" numFmtId="0" xfId="0" applyBorder="1" applyFont="1"/>
    <xf borderId="3" fillId="3" fontId="5" numFmtId="0" xfId="0" applyAlignment="1" applyBorder="1" applyFill="1" applyFont="1">
      <alignment vertical="bottom"/>
    </xf>
    <xf borderId="4" fillId="3" fontId="6" numFmtId="4" xfId="0" applyAlignment="1" applyBorder="1" applyFont="1" applyNumberFormat="1">
      <alignment horizontal="right" vertical="bottom"/>
    </xf>
    <xf borderId="3" fillId="3" fontId="5" numFmtId="0" xfId="0" applyAlignment="1" applyBorder="1" applyFont="1">
      <alignment readingOrder="0" vertical="bottom"/>
    </xf>
    <xf borderId="4" fillId="0" fontId="6" numFmtId="4" xfId="0" applyAlignment="1" applyBorder="1" applyFont="1" applyNumberFormat="1">
      <alignment horizontal="right" vertical="bottom"/>
    </xf>
    <xf borderId="5" fillId="3" fontId="5" numFmtId="0" xfId="0" applyAlignment="1" applyBorder="1" applyFont="1">
      <alignment vertical="bottom"/>
    </xf>
    <xf borderId="6" fillId="0" fontId="6" numFmtId="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Temperature_Anomaly_C vs Year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Sheet1!$A$2:$A$1000</c:f>
            </c:numRef>
          </c:xVal>
          <c:yVal>
            <c:numRef>
              <c:f>Sheet1!$C$2:$C$1000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256611"/>
        <c:axId val="493964676"/>
      </c:scatterChart>
      <c:valAx>
        <c:axId val="11072566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964676"/>
      </c:valAx>
      <c:valAx>
        <c:axId val="493964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Temperature_Anomaly_C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72566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Year vs CO2_Concentration_ppm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Sheet1!$A$2:$A$22</c:f>
            </c:numRef>
          </c:xVal>
          <c:yVal>
            <c:numRef>
              <c:f>Sheet1!$B$2:$B$22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029178"/>
        <c:axId val="130088292"/>
      </c:scatterChart>
      <c:valAx>
        <c:axId val="13220291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088292"/>
      </c:valAx>
      <c:valAx>
        <c:axId val="1300882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Concentration_ppm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20291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Residual  vs Year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Sheet1!$A$2:$A$22</c:f>
            </c:numRef>
          </c:xVal>
          <c:yVal>
            <c:numRef>
              <c:f>Sheet1!$I$2:$I$23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0894553"/>
        <c:axId val="766191743"/>
      </c:scatterChart>
      <c:valAx>
        <c:axId val="20608945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191743"/>
      </c:valAx>
      <c:valAx>
        <c:axId val="766191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Residual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8945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Sea_Level_Rise_mm vs Year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Sheet1!$A$2:$A$22</c:f>
            </c:numRef>
          </c:xVal>
          <c:yVal>
            <c:numRef>
              <c:f>Sheet1!$D$2:$D$22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957183"/>
        <c:axId val="1147828256"/>
      </c:scatterChart>
      <c:valAx>
        <c:axId val="2219571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7828256"/>
      </c:valAx>
      <c:valAx>
        <c:axId val="1147828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Sea_Level_Rise_mm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19571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Residual  vs Year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Sheet1!$K$1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Sheet1!$A$2:$A$22</c:f>
            </c:numRef>
          </c:xVal>
          <c:yVal>
            <c:numRef>
              <c:f>Sheet1!$K$2:$K$22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425798"/>
        <c:axId val="338941374"/>
      </c:scatterChart>
      <c:valAx>
        <c:axId val="15254257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8941374"/>
      </c:valAx>
      <c:valAx>
        <c:axId val="3389413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Residual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54257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85725</xdr:colOff>
      <xdr:row>0</xdr:row>
      <xdr:rowOff>57150</xdr:rowOff>
    </xdr:from>
    <xdr:ext cx="5715000" cy="3533775"/>
    <xdr:graphicFrame>
      <xdr:nvGraphicFramePr>
        <xdr:cNvPr id="57093034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57150</xdr:rowOff>
    </xdr:from>
    <xdr:ext cx="5715000" cy="3533775"/>
    <xdr:graphicFrame>
      <xdr:nvGraphicFramePr>
        <xdr:cNvPr id="37292230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552450</xdr:colOff>
      <xdr:row>19</xdr:row>
      <xdr:rowOff>152400</xdr:rowOff>
    </xdr:from>
    <xdr:ext cx="5715000" cy="3533775"/>
    <xdr:graphicFrame>
      <xdr:nvGraphicFramePr>
        <xdr:cNvPr id="94401994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152400</xdr:colOff>
      <xdr:row>23</xdr:row>
      <xdr:rowOff>114300</xdr:rowOff>
    </xdr:from>
    <xdr:ext cx="5715000" cy="3533775"/>
    <xdr:graphicFrame>
      <xdr:nvGraphicFramePr>
        <xdr:cNvPr id="111408618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152400</xdr:colOff>
      <xdr:row>32</xdr:row>
      <xdr:rowOff>104775</xdr:rowOff>
    </xdr:from>
    <xdr:ext cx="5715000" cy="3533775"/>
    <xdr:graphicFrame>
      <xdr:nvGraphicFramePr>
        <xdr:cNvPr id="2093195754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8.29"/>
    <col customWidth="1" min="3" max="3" width="22.57"/>
    <col customWidth="1" min="4" max="4" width="11.71"/>
    <col customWidth="1" min="5" max="5" width="17.0"/>
    <col customWidth="1" min="6" max="6" width="10.71"/>
    <col customWidth="1" min="7" max="7" width="18.14"/>
    <col customWidth="1" min="8" max="8" width="16.14"/>
    <col customWidth="1" min="9" max="9" width="16.29"/>
    <col customWidth="1" min="10" max="11" width="33.86"/>
    <col customWidth="1" min="12" max="12" width="16.86"/>
    <col customWidth="1" min="13" max="13" width="37.29"/>
    <col customWidth="1" min="14" max="17" width="8.71"/>
    <col customWidth="1" min="18" max="18" width="15.29"/>
    <col customWidth="1" min="19" max="19" width="49.86"/>
    <col customWidth="1" min="20" max="20" width="8.71"/>
    <col customWidth="1" min="21" max="21" width="15.71"/>
    <col customWidth="1" min="22" max="29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>
        <v>2000.0</v>
      </c>
      <c r="B2" s="1">
        <v>369.5</v>
      </c>
      <c r="C2" s="1">
        <v>0.39</v>
      </c>
      <c r="D2" s="1">
        <v>0.0</v>
      </c>
      <c r="E2" s="1">
        <v>6.32</v>
      </c>
      <c r="F2" s="1">
        <v>24.5</v>
      </c>
      <c r="G2" s="1">
        <f>CORREL(B2:B22,C2:C22)</f>
        <v>0.890966618</v>
      </c>
      <c r="H2" s="4">
        <f t="shared" ref="H2:H22" si="1">2.2*A2-4041</f>
        <v>359</v>
      </c>
      <c r="I2" s="1">
        <f t="shared" ref="I2:I22" si="2">B2-H2</f>
        <v>10.5</v>
      </c>
      <c r="J2" s="1">
        <f t="shared" ref="J2:J22" si="3">3.81*A2 + -7618</f>
        <v>2</v>
      </c>
      <c r="K2" s="1">
        <f t="shared" ref="K2:K22" si="4">J2-D2</f>
        <v>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>
        <v>2001.0</v>
      </c>
      <c r="B3" s="1">
        <v>371.1</v>
      </c>
      <c r="C3" s="1">
        <v>0.54</v>
      </c>
      <c r="D3" s="1">
        <v>3.2</v>
      </c>
      <c r="E3" s="1">
        <v>6.75</v>
      </c>
      <c r="F3" s="1">
        <v>24.8</v>
      </c>
      <c r="G3" s="1"/>
      <c r="H3" s="4">
        <f t="shared" si="1"/>
        <v>361.2</v>
      </c>
      <c r="I3" s="1">
        <f t="shared" si="2"/>
        <v>9.9</v>
      </c>
      <c r="J3" s="1">
        <f t="shared" si="3"/>
        <v>5.81</v>
      </c>
      <c r="K3" s="1">
        <f t="shared" si="4"/>
        <v>2.61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>
        <v>2002.0</v>
      </c>
      <c r="B4" s="1">
        <v>373.2</v>
      </c>
      <c r="C4" s="1">
        <v>0.63</v>
      </c>
      <c r="D4" s="1">
        <v>7.1</v>
      </c>
      <c r="E4" s="1">
        <v>5.96</v>
      </c>
      <c r="F4" s="1">
        <v>25.3</v>
      </c>
      <c r="G4" s="1"/>
      <c r="H4" s="4">
        <f t="shared" si="1"/>
        <v>363.4</v>
      </c>
      <c r="I4" s="1">
        <f t="shared" si="2"/>
        <v>9.8</v>
      </c>
      <c r="J4" s="1">
        <f t="shared" si="3"/>
        <v>9.62</v>
      </c>
      <c r="K4" s="1">
        <f t="shared" si="4"/>
        <v>2.52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>
        <v>2003.0</v>
      </c>
      <c r="B5" s="1">
        <v>375.8</v>
      </c>
      <c r="C5" s="1">
        <v>0.62</v>
      </c>
      <c r="D5" s="1">
        <v>10.5</v>
      </c>
      <c r="E5" s="1">
        <v>6.15</v>
      </c>
      <c r="F5" s="1">
        <v>26.5</v>
      </c>
      <c r="G5" s="1"/>
      <c r="H5" s="4">
        <f t="shared" si="1"/>
        <v>365.6</v>
      </c>
      <c r="I5" s="1">
        <f t="shared" si="2"/>
        <v>10.2</v>
      </c>
      <c r="J5" s="1">
        <f t="shared" si="3"/>
        <v>13.43</v>
      </c>
      <c r="K5" s="1">
        <f t="shared" si="4"/>
        <v>2.93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>
        <v>2004.0</v>
      </c>
      <c r="B6" s="1">
        <v>377.5</v>
      </c>
      <c r="C6" s="1">
        <v>0.53</v>
      </c>
      <c r="D6" s="1">
        <v>12.8</v>
      </c>
      <c r="E6" s="1">
        <v>6.05</v>
      </c>
      <c r="F6" s="1">
        <v>27.8</v>
      </c>
      <c r="G6" s="1"/>
      <c r="H6" s="4">
        <f t="shared" si="1"/>
        <v>367.8</v>
      </c>
      <c r="I6" s="1">
        <f t="shared" si="2"/>
        <v>9.7</v>
      </c>
      <c r="J6" s="1">
        <f t="shared" si="3"/>
        <v>17.24</v>
      </c>
      <c r="K6" s="1">
        <f t="shared" si="4"/>
        <v>4.44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>
        <v>2005.0</v>
      </c>
      <c r="B7" s="1">
        <v>379.8</v>
      </c>
      <c r="C7" s="1">
        <v>0.68</v>
      </c>
      <c r="D7" s="1">
        <v>15.2</v>
      </c>
      <c r="E7" s="1">
        <v>5.57</v>
      </c>
      <c r="F7" s="1">
        <v>28.7</v>
      </c>
      <c r="G7" s="1"/>
      <c r="H7" s="4">
        <f t="shared" si="1"/>
        <v>370</v>
      </c>
      <c r="I7" s="1">
        <f t="shared" si="2"/>
        <v>9.8</v>
      </c>
      <c r="J7" s="1">
        <f t="shared" si="3"/>
        <v>21.05</v>
      </c>
      <c r="K7" s="1">
        <f t="shared" si="4"/>
        <v>5.85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">
        <v>2006.0</v>
      </c>
      <c r="B8" s="1">
        <v>381.9</v>
      </c>
      <c r="C8" s="1">
        <v>0.64</v>
      </c>
      <c r="D8" s="1">
        <v>19.1</v>
      </c>
      <c r="E8" s="1">
        <v>5.92</v>
      </c>
      <c r="F8" s="1">
        <v>29.4</v>
      </c>
      <c r="G8" s="1"/>
      <c r="H8" s="4">
        <f t="shared" si="1"/>
        <v>372.2</v>
      </c>
      <c r="I8" s="1">
        <f t="shared" si="2"/>
        <v>9.7</v>
      </c>
      <c r="J8" s="1">
        <f t="shared" si="3"/>
        <v>24.86</v>
      </c>
      <c r="K8" s="1">
        <f t="shared" si="4"/>
        <v>5.76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">
        <v>2007.0</v>
      </c>
      <c r="B9" s="1">
        <v>383.8</v>
      </c>
      <c r="C9" s="1">
        <v>0.66</v>
      </c>
      <c r="D9" s="1">
        <v>22.0</v>
      </c>
      <c r="E9" s="1">
        <v>4.3</v>
      </c>
      <c r="F9" s="1">
        <v>30.0</v>
      </c>
      <c r="G9" s="1"/>
      <c r="H9" s="4">
        <f t="shared" si="1"/>
        <v>374.4</v>
      </c>
      <c r="I9" s="1">
        <f t="shared" si="2"/>
        <v>9.4</v>
      </c>
      <c r="J9" s="1">
        <f t="shared" si="3"/>
        <v>28.67</v>
      </c>
      <c r="K9" s="1">
        <f t="shared" si="4"/>
        <v>6.67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>
        <v>2008.0</v>
      </c>
      <c r="B10" s="1">
        <v>385.6</v>
      </c>
      <c r="C10" s="1">
        <v>0.54</v>
      </c>
      <c r="D10" s="1">
        <v>25.3</v>
      </c>
      <c r="E10" s="1">
        <v>4.67</v>
      </c>
      <c r="F10" s="1">
        <v>30.1</v>
      </c>
      <c r="G10" s="1"/>
      <c r="H10" s="4">
        <f t="shared" si="1"/>
        <v>376.6</v>
      </c>
      <c r="I10" s="1">
        <f t="shared" si="2"/>
        <v>9</v>
      </c>
      <c r="J10" s="1">
        <f t="shared" si="3"/>
        <v>32.48</v>
      </c>
      <c r="K10" s="1">
        <f t="shared" si="4"/>
        <v>7.18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">
        <v>2009.0</v>
      </c>
      <c r="B11" s="1">
        <v>387.4</v>
      </c>
      <c r="C11" s="1">
        <v>0.64</v>
      </c>
      <c r="D11" s="1">
        <v>29.0</v>
      </c>
      <c r="E11" s="1">
        <v>5.36</v>
      </c>
      <c r="F11" s="1">
        <v>29.4</v>
      </c>
      <c r="G11" s="1"/>
      <c r="H11" s="4">
        <f t="shared" si="1"/>
        <v>378.8</v>
      </c>
      <c r="I11" s="1">
        <f t="shared" si="2"/>
        <v>8.6</v>
      </c>
      <c r="J11" s="1">
        <f t="shared" si="3"/>
        <v>36.29</v>
      </c>
      <c r="K11" s="1">
        <f t="shared" si="4"/>
        <v>7.29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">
        <v>2010.0</v>
      </c>
      <c r="B12" s="1">
        <v>389.9</v>
      </c>
      <c r="C12" s="1">
        <v>0.72</v>
      </c>
      <c r="D12" s="1">
        <v>32.5</v>
      </c>
      <c r="E12" s="1">
        <v>4.9</v>
      </c>
      <c r="F12" s="1">
        <v>31.0</v>
      </c>
      <c r="G12" s="1"/>
      <c r="H12" s="4">
        <f t="shared" si="1"/>
        <v>381</v>
      </c>
      <c r="I12" s="1">
        <f t="shared" si="2"/>
        <v>8.9</v>
      </c>
      <c r="J12" s="1">
        <f t="shared" si="3"/>
        <v>40.1</v>
      </c>
      <c r="K12" s="1">
        <f t="shared" si="4"/>
        <v>7.6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">
        <v>2011.0</v>
      </c>
      <c r="B13" s="1">
        <v>391.6</v>
      </c>
      <c r="C13" s="1">
        <v>0.61</v>
      </c>
      <c r="D13" s="1">
        <v>35.8</v>
      </c>
      <c r="E13" s="1">
        <v>4.61</v>
      </c>
      <c r="F13" s="1">
        <v>32.3</v>
      </c>
      <c r="G13" s="1"/>
      <c r="H13" s="4">
        <f t="shared" si="1"/>
        <v>383.2</v>
      </c>
      <c r="I13" s="1">
        <f t="shared" si="2"/>
        <v>8.4</v>
      </c>
      <c r="J13" s="1">
        <f t="shared" si="3"/>
        <v>43.91</v>
      </c>
      <c r="K13" s="1">
        <f t="shared" si="4"/>
        <v>8.11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">
        <v>2012.0</v>
      </c>
      <c r="B14" s="1">
        <v>393.8</v>
      </c>
      <c r="C14" s="1">
        <v>0.64</v>
      </c>
      <c r="D14" s="1">
        <v>40.1</v>
      </c>
      <c r="E14" s="1">
        <v>3.63</v>
      </c>
      <c r="F14" s="1">
        <v>32.7</v>
      </c>
      <c r="G14" s="1"/>
      <c r="H14" s="4">
        <f t="shared" si="1"/>
        <v>385.4</v>
      </c>
      <c r="I14" s="1">
        <f t="shared" si="2"/>
        <v>8.4</v>
      </c>
      <c r="J14" s="1">
        <f t="shared" si="3"/>
        <v>47.72</v>
      </c>
      <c r="K14" s="1">
        <f t="shared" si="4"/>
        <v>7.62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>
        <v>2013.0</v>
      </c>
      <c r="B15" s="1">
        <v>396.5</v>
      </c>
      <c r="C15" s="1">
        <v>0.68</v>
      </c>
      <c r="D15" s="1">
        <v>44.0</v>
      </c>
      <c r="E15" s="1">
        <v>5.35</v>
      </c>
      <c r="F15" s="1">
        <v>33.0</v>
      </c>
      <c r="G15" s="1"/>
      <c r="H15" s="4">
        <f t="shared" si="1"/>
        <v>387.6</v>
      </c>
      <c r="I15" s="1">
        <f t="shared" si="2"/>
        <v>8.9</v>
      </c>
      <c r="J15" s="1">
        <f t="shared" si="3"/>
        <v>51.53</v>
      </c>
      <c r="K15" s="1">
        <f t="shared" si="4"/>
        <v>7.53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>
        <v>2014.0</v>
      </c>
      <c r="B16" s="1">
        <v>398.6</v>
      </c>
      <c r="C16" s="1">
        <v>0.75</v>
      </c>
      <c r="D16" s="1">
        <v>48.5</v>
      </c>
      <c r="E16" s="1">
        <v>5.28</v>
      </c>
      <c r="F16" s="1">
        <v>33.2</v>
      </c>
      <c r="G16" s="1"/>
      <c r="H16" s="4">
        <f t="shared" si="1"/>
        <v>389.8</v>
      </c>
      <c r="I16" s="1">
        <f t="shared" si="2"/>
        <v>8.8</v>
      </c>
      <c r="J16" s="1">
        <f t="shared" si="3"/>
        <v>55.34</v>
      </c>
      <c r="K16" s="1">
        <f t="shared" si="4"/>
        <v>6.84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>
        <v>2015.0</v>
      </c>
      <c r="B17" s="1">
        <v>400.8</v>
      </c>
      <c r="C17" s="1">
        <v>0.87</v>
      </c>
      <c r="D17" s="1">
        <v>53.2</v>
      </c>
      <c r="E17" s="1">
        <v>4.63</v>
      </c>
      <c r="F17" s="1">
        <v>33.0</v>
      </c>
      <c r="G17" s="1"/>
      <c r="H17" s="4">
        <f t="shared" si="1"/>
        <v>392</v>
      </c>
      <c r="I17" s="1">
        <f t="shared" si="2"/>
        <v>8.8</v>
      </c>
      <c r="J17" s="1">
        <f t="shared" si="3"/>
        <v>59.15</v>
      </c>
      <c r="K17" s="1">
        <f t="shared" si="4"/>
        <v>5.95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>
        <v>2016.0</v>
      </c>
      <c r="B18" s="1">
        <v>404.2</v>
      </c>
      <c r="C18" s="1">
        <v>1.01</v>
      </c>
      <c r="D18" s="1">
        <v>58.0</v>
      </c>
      <c r="E18" s="1">
        <v>4.72</v>
      </c>
      <c r="F18" s="1">
        <v>33.4</v>
      </c>
      <c r="G18" s="1"/>
      <c r="H18" s="4">
        <f t="shared" si="1"/>
        <v>394.2</v>
      </c>
      <c r="I18" s="1">
        <f t="shared" si="2"/>
        <v>10</v>
      </c>
      <c r="J18" s="1">
        <f t="shared" si="3"/>
        <v>62.96</v>
      </c>
      <c r="K18" s="1">
        <f t="shared" si="4"/>
        <v>4.96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>
        <v>2017.0</v>
      </c>
      <c r="B19" s="1">
        <v>406.5</v>
      </c>
      <c r="C19" s="1">
        <v>0.92</v>
      </c>
      <c r="D19" s="1">
        <v>63.1</v>
      </c>
      <c r="E19" s="1">
        <v>4.87</v>
      </c>
      <c r="F19" s="1">
        <v>33.6</v>
      </c>
      <c r="G19" s="1"/>
      <c r="H19" s="4">
        <f t="shared" si="1"/>
        <v>396.4</v>
      </c>
      <c r="I19" s="1">
        <f t="shared" si="2"/>
        <v>10.1</v>
      </c>
      <c r="J19" s="1">
        <f t="shared" si="3"/>
        <v>66.77</v>
      </c>
      <c r="K19" s="1">
        <f t="shared" si="4"/>
        <v>3.67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>
        <v>2018.0</v>
      </c>
      <c r="B20" s="1">
        <v>408.5</v>
      </c>
      <c r="C20" s="1">
        <v>0.85</v>
      </c>
      <c r="D20" s="1">
        <v>67.8</v>
      </c>
      <c r="E20" s="1">
        <v>4.71</v>
      </c>
      <c r="F20" s="1">
        <v>34.0</v>
      </c>
      <c r="G20" s="1"/>
      <c r="H20" s="4">
        <f t="shared" si="1"/>
        <v>398.6</v>
      </c>
      <c r="I20" s="1">
        <f t="shared" si="2"/>
        <v>9.9</v>
      </c>
      <c r="J20" s="1">
        <f t="shared" si="3"/>
        <v>70.58</v>
      </c>
      <c r="K20" s="1">
        <f t="shared" si="4"/>
        <v>2.78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5.75" customHeight="1">
      <c r="A21" s="1">
        <v>2019.0</v>
      </c>
      <c r="B21" s="1">
        <v>411.4</v>
      </c>
      <c r="C21" s="1">
        <v>0.98</v>
      </c>
      <c r="D21" s="1">
        <v>72.5</v>
      </c>
      <c r="E21" s="1">
        <v>4.32</v>
      </c>
      <c r="F21" s="1">
        <v>33.1</v>
      </c>
      <c r="G21" s="1"/>
      <c r="H21" s="4">
        <f t="shared" si="1"/>
        <v>400.8</v>
      </c>
      <c r="I21" s="1">
        <f t="shared" si="2"/>
        <v>10.6</v>
      </c>
      <c r="J21" s="1">
        <f t="shared" si="3"/>
        <v>74.39</v>
      </c>
      <c r="K21" s="1">
        <f t="shared" si="4"/>
        <v>1.89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5.75" customHeight="1">
      <c r="A22" s="1">
        <v>2020.0</v>
      </c>
      <c r="B22" s="1">
        <v>414.2</v>
      </c>
      <c r="C22" s="1">
        <v>1.02</v>
      </c>
      <c r="D22" s="1">
        <v>77.3</v>
      </c>
      <c r="E22" s="1">
        <v>3.92</v>
      </c>
      <c r="F22" s="1">
        <v>32.3</v>
      </c>
      <c r="G22" s="1"/>
      <c r="H22" s="4">
        <f t="shared" si="1"/>
        <v>403</v>
      </c>
      <c r="I22" s="1">
        <f t="shared" si="2"/>
        <v>11.2</v>
      </c>
      <c r="J22" s="1">
        <f t="shared" si="3"/>
        <v>78.2</v>
      </c>
      <c r="K22" s="1">
        <f t="shared" si="4"/>
        <v>0.9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1"/>
      <c r="D23" s="1"/>
      <c r="E23" s="1"/>
      <c r="F23" s="1"/>
      <c r="G23" s="1"/>
      <c r="H23" s="4" t="s">
        <v>10</v>
      </c>
      <c r="I23" s="1">
        <f>AVERAGE(I2:I22)</f>
        <v>9.552380952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5" t="s">
        <v>11</v>
      </c>
      <c r="M24" s="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7" t="s">
        <v>12</v>
      </c>
      <c r="M25" s="8">
        <f>ABS(I23)</f>
        <v>9.552380952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9" t="s">
        <v>13</v>
      </c>
      <c r="M26" s="10">
        <f t="array" ref="M26">AVERAGE(I2:I22^2)</f>
        <v>91.8152381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1"/>
      <c r="D27" s="1"/>
      <c r="E27" s="1"/>
      <c r="F27" s="1"/>
      <c r="G27" s="1"/>
      <c r="H27" s="3" t="s">
        <v>14</v>
      </c>
      <c r="I27" s="3" t="s">
        <v>15</v>
      </c>
      <c r="J27" s="3" t="s">
        <v>16</v>
      </c>
      <c r="K27" s="3" t="s">
        <v>17</v>
      </c>
      <c r="L27" s="11" t="s">
        <v>17</v>
      </c>
      <c r="M27" s="12">
        <f>SQRT(M26)</f>
        <v>9.582026826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1"/>
      <c r="D28" s="1"/>
      <c r="E28" s="1"/>
      <c r="F28" s="1"/>
      <c r="G28" s="1"/>
      <c r="H28" s="4" t="s">
        <v>18</v>
      </c>
      <c r="I28" s="4" t="s">
        <v>19</v>
      </c>
      <c r="J28" s="4">
        <v>0.991</v>
      </c>
      <c r="K28" s="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1"/>
      <c r="D29" s="1"/>
      <c r="E29" s="1"/>
      <c r="F29" s="1"/>
      <c r="G29" s="1"/>
      <c r="H29" s="4" t="s">
        <v>20</v>
      </c>
      <c r="I29" s="4" t="s">
        <v>21</v>
      </c>
      <c r="J29" s="4">
        <v>0.999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1"/>
      <c r="D30" s="1"/>
      <c r="E30" s="1"/>
      <c r="F30" s="1"/>
      <c r="G30" s="1"/>
      <c r="H30" s="4" t="s">
        <v>22</v>
      </c>
      <c r="I30" s="4" t="s">
        <v>23</v>
      </c>
      <c r="J30" s="4">
        <v>1.0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1"/>
      <c r="D31" s="1"/>
      <c r="E31" s="1"/>
      <c r="F31" s="1"/>
      <c r="G31" s="1"/>
      <c r="H31" s="4" t="s">
        <v>24</v>
      </c>
      <c r="I31" s="4" t="s">
        <v>25</v>
      </c>
      <c r="J31" s="4">
        <v>1.0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3" t="s">
        <v>14</v>
      </c>
      <c r="S41" s="3" t="s">
        <v>15</v>
      </c>
      <c r="T41" s="3" t="s">
        <v>16</v>
      </c>
      <c r="U41" s="3" t="s">
        <v>17</v>
      </c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4" t="s">
        <v>18</v>
      </c>
      <c r="S42" s="4" t="str">
        <f t="array" ref="S42">"y = " &amp; ROUND(INDEX(LINEST(B2:B22, A2:A22), 1), 4) &amp; "x + " &amp; ROUND(INDEX(LINEST(B2:B22, A2:A22), 2), 4)</f>
        <v>y = 2.2048x + -4041.1061</v>
      </c>
      <c r="T42" s="4">
        <v>0.997</v>
      </c>
      <c r="U42" s="4">
        <v>9.58</v>
      </c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4" t="s">
        <v>20</v>
      </c>
      <c r="S43" s="4" t="s">
        <v>26</v>
      </c>
      <c r="T43" s="4">
        <v>0.999</v>
      </c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4" t="s">
        <v>22</v>
      </c>
      <c r="S44" s="4" t="s">
        <v>27</v>
      </c>
      <c r="T44" s="4">
        <v>1.0</v>
      </c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4" t="s">
        <v>24</v>
      </c>
      <c r="S45" s="4" t="s">
        <v>28</v>
      </c>
      <c r="T45" s="4">
        <v>1.0</v>
      </c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1">
    <mergeCell ref="L24:M2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2026-03-23T11:12:38Z</dcterms:created>
</cp:coreProperties>
</file>